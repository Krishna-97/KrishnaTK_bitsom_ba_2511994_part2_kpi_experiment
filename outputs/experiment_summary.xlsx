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2\"/>
    </mc:Choice>
  </mc:AlternateContent>
  <xr:revisionPtr revIDLastSave="0" documentId="13_ncr:1_{D6966755-60F9-4F3E-BDB0-89710AB29A72}" xr6:coauthVersionLast="47" xr6:coauthVersionMax="47" xr10:uidLastSave="{00000000-0000-0000-0000-000000000000}"/>
  <bookViews>
    <workbookView xWindow="-110" yWindow="-110" windowWidth="19420" windowHeight="10300" xr2:uid="{D7089763-08FB-42A0-9D89-E4EA40A2D2BD}"/>
  </bookViews>
  <sheets>
    <sheet name="Data" sheetId="1" r:id="rId1"/>
    <sheet name="Region" sheetId="2" r:id="rId2"/>
    <sheet name="Device Type" sheetId="3" r:id="rId3"/>
    <sheet name="Traffic Source" sheetId="4" r:id="rId4"/>
    <sheet name="Plan Type" sheetId="5" r:id="rId5"/>
  </sheets>
  <definedNames>
    <definedName name="_xlnm._FilterDatabase" localSheetId="0" hidden="1">Data!$A$1:$P$1409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5" l="1"/>
  <c r="G4" i="5"/>
  <c r="G3" i="5"/>
  <c r="G6" i="5" s="1"/>
  <c r="E3" i="5"/>
  <c r="E6" i="5" s="1"/>
  <c r="E5" i="5"/>
  <c r="E4" i="5"/>
  <c r="B3" i="5"/>
  <c r="C5" i="5"/>
  <c r="C4" i="5"/>
  <c r="C3" i="5"/>
  <c r="B5" i="5"/>
  <c r="B4" i="5"/>
  <c r="G8" i="4"/>
  <c r="G7" i="4"/>
  <c r="G6" i="4"/>
  <c r="G5" i="4"/>
  <c r="G4" i="4"/>
  <c r="G3" i="4"/>
  <c r="G9" i="4" s="1"/>
  <c r="E3" i="4"/>
  <c r="E8" i="4"/>
  <c r="E7" i="4"/>
  <c r="E6" i="4"/>
  <c r="E5" i="4"/>
  <c r="E4" i="4"/>
  <c r="C3" i="4"/>
  <c r="C8" i="4"/>
  <c r="C7" i="4"/>
  <c r="C6" i="4"/>
  <c r="C5" i="4"/>
  <c r="C4" i="4"/>
  <c r="B8" i="4"/>
  <c r="D8" i="4" s="1"/>
  <c r="H8" i="4" s="1"/>
  <c r="B7" i="4"/>
  <c r="B6" i="4"/>
  <c r="B5" i="4"/>
  <c r="B4" i="4"/>
  <c r="B3" i="4"/>
  <c r="B9" i="4" s="1"/>
  <c r="G6" i="3"/>
  <c r="F6" i="3"/>
  <c r="E6" i="3"/>
  <c r="C6" i="3"/>
  <c r="B6" i="3"/>
  <c r="G4" i="3"/>
  <c r="G5" i="3"/>
  <c r="G3" i="3"/>
  <c r="E3" i="3"/>
  <c r="E5" i="3"/>
  <c r="E4" i="3"/>
  <c r="B3" i="3"/>
  <c r="C5" i="3"/>
  <c r="C4" i="3"/>
  <c r="C3" i="3"/>
  <c r="F7" i="4" l="1"/>
  <c r="H6" i="4"/>
  <c r="H7" i="4"/>
  <c r="F8" i="4"/>
  <c r="F5" i="4"/>
  <c r="F6" i="4"/>
  <c r="F3" i="4"/>
  <c r="C9" i="4"/>
  <c r="D9" i="4" s="1"/>
  <c r="H9" i="4" s="1"/>
  <c r="B6" i="5"/>
  <c r="C6" i="5"/>
  <c r="D4" i="5"/>
  <c r="F4" i="5" s="1"/>
  <c r="D5" i="5"/>
  <c r="H5" i="5" s="1"/>
  <c r="H4" i="5"/>
  <c r="D3" i="5"/>
  <c r="E9" i="4"/>
  <c r="F9" i="4" s="1"/>
  <c r="D6" i="4"/>
  <c r="D5" i="4"/>
  <c r="H5" i="4" s="1"/>
  <c r="D7" i="4"/>
  <c r="D4" i="4"/>
  <c r="F4" i="4" s="1"/>
  <c r="D3" i="4"/>
  <c r="H3" i="4" s="1"/>
  <c r="B5" i="3"/>
  <c r="B4" i="3"/>
  <c r="G6" i="2"/>
  <c r="G5" i="2"/>
  <c r="G4" i="2"/>
  <c r="G3" i="2"/>
  <c r="E3" i="2"/>
  <c r="H4" i="4" l="1"/>
  <c r="F5" i="5"/>
  <c r="F3" i="5"/>
  <c r="H3" i="5"/>
  <c r="C7" i="3"/>
  <c r="G7" i="3"/>
  <c r="E7" i="3"/>
  <c r="D6" i="3"/>
  <c r="H6" i="3" s="1"/>
  <c r="B7" i="3"/>
  <c r="D5" i="3"/>
  <c r="H5" i="3" s="1"/>
  <c r="G7" i="2"/>
  <c r="D4" i="3"/>
  <c r="F4" i="3" s="1"/>
  <c r="D3" i="3"/>
  <c r="F3" i="3" s="1"/>
  <c r="E6" i="2"/>
  <c r="E5" i="2"/>
  <c r="E4" i="2"/>
  <c r="C6" i="2"/>
  <c r="C5" i="2"/>
  <c r="C4" i="2"/>
  <c r="C3" i="2"/>
  <c r="B6" i="2"/>
  <c r="B5" i="2"/>
  <c r="B4" i="2"/>
  <c r="B3" i="2"/>
  <c r="D3" i="2" s="1"/>
  <c r="F3" i="2" s="1"/>
  <c r="W5" i="1"/>
  <c r="V8" i="1"/>
  <c r="V7" i="1"/>
  <c r="U6" i="1"/>
  <c r="V6" i="1"/>
  <c r="V5" i="1"/>
  <c r="U8" i="1"/>
  <c r="U7" i="1"/>
  <c r="U5" i="1"/>
  <c r="V9" i="1" l="1"/>
  <c r="D7" i="3"/>
  <c r="H7" i="3" s="1"/>
  <c r="F5" i="3"/>
  <c r="H4" i="3"/>
  <c r="U9" i="1"/>
  <c r="E7" i="2"/>
  <c r="D4" i="2"/>
  <c r="H4" i="2" s="1"/>
  <c r="D5" i="2"/>
  <c r="H5" i="2" s="1"/>
  <c r="D6" i="2"/>
  <c r="H6" i="2" s="1"/>
  <c r="H3" i="2"/>
  <c r="H3" i="3"/>
  <c r="C7" i="2"/>
  <c r="B7" i="2"/>
  <c r="D7" i="2" s="1"/>
  <c r="H7" i="2" s="1"/>
  <c r="F7" i="3" l="1"/>
  <c r="F7" i="2"/>
  <c r="F4" i="2"/>
  <c r="F6" i="2"/>
  <c r="F5" i="2"/>
  <c r="D6" i="5" l="1"/>
  <c r="H6" i="5"/>
  <c r="F6" i="5"/>
</calcChain>
</file>

<file path=xl/sharedStrings.xml><?xml version="1.0" encoding="utf-8"?>
<sst xmlns="http://schemas.openxmlformats.org/spreadsheetml/2006/main" count="8488" uniqueCount="1443">
  <si>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</si>
  <si>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</si>
  <si>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</si>
  <si>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</si>
  <si>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</si>
  <si>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</si>
  <si>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</si>
  <si>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</si>
  <si>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</si>
  <si>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</si>
  <si>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</si>
  <si>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</si>
  <si>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</si>
  <si>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</si>
  <si>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</si>
  <si>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</si>
  <si>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</si>
  <si>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</si>
  <si>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</si>
  <si>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</si>
  <si>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</si>
  <si>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</si>
  <si>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</si>
  <si>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</si>
  <si>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</si>
  <si>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</si>
  <si>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</si>
  <si>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</si>
  <si>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</si>
  <si>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</si>
  <si>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</si>
  <si>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</si>
  <si>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</si>
  <si>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</si>
  <si>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</si>
  <si>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</si>
  <si>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</si>
  <si>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</si>
  <si>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</si>
  <si>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</si>
  <si>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</si>
  <si>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</si>
  <si>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</si>
  <si>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</si>
  <si>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</si>
  <si>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</si>
  <si>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</si>
  <si>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</si>
  <si>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</si>
  <si>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</si>
  <si>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</si>
  <si>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</si>
  <si>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</si>
  <si>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</si>
  <si>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</si>
  <si>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</si>
  <si>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</si>
  <si>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</si>
  <si>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</si>
  <si>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</si>
  <si>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</si>
  <si>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</si>
  <si>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</si>
  <si>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</si>
  <si>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</si>
  <si>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</si>
  <si>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</si>
  <si>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</si>
  <si>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</si>
  <si>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</si>
  <si>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</si>
  <si>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</si>
  <si>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</si>
  <si>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</si>
  <si>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</si>
  <si>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</si>
  <si>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</si>
  <si>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</si>
  <si>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</si>
  <si>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</si>
  <si>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</si>
  <si>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</si>
  <si>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</si>
  <si>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</si>
  <si>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</si>
  <si>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</si>
  <si>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</si>
  <si>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</si>
  <si>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</si>
  <si>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</si>
  <si>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</si>
  <si>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</si>
  <si>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</si>
  <si>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</si>
  <si>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</si>
  <si>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</si>
  <si>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</si>
  <si>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</si>
  <si>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</si>
  <si>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</si>
  <si>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</si>
  <si>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</si>
  <si>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</si>
  <si>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</si>
  <si>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</si>
  <si>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</si>
  <si>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</si>
  <si>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</si>
  <si>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</si>
  <si>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</si>
  <si>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</si>
  <si>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</si>
  <si>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</si>
  <si>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</si>
  <si>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</si>
  <si>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</si>
  <si>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</si>
  <si>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</si>
  <si>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</si>
  <si>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</si>
  <si>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</si>
  <si>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</si>
  <si>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</si>
  <si>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</si>
  <si>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</si>
  <si>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</si>
  <si>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</si>
  <si>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</si>
  <si>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</si>
  <si>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</si>
  <si>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</si>
  <si>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</si>
  <si>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</si>
  <si>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</si>
  <si>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</si>
  <si>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</si>
  <si>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</si>
  <si>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</si>
  <si>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</si>
  <si>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</si>
  <si>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</si>
  <si>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</si>
  <si>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</si>
  <si>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</si>
  <si>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</si>
  <si>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</si>
  <si>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</si>
  <si>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</si>
  <si>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</si>
  <si>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</si>
  <si>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</si>
  <si>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</si>
  <si>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</si>
  <si>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</si>
  <si>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</si>
  <si>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</si>
  <si>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</si>
  <si>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</si>
  <si>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</si>
  <si>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</si>
  <si>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</si>
  <si>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</si>
  <si>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</si>
  <si>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</si>
  <si>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</si>
  <si>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</si>
  <si>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</si>
  <si>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</si>
  <si>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</si>
  <si>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</si>
  <si>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</si>
  <si>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</si>
  <si>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</si>
  <si>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</si>
  <si>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</si>
  <si>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</si>
  <si>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</si>
  <si>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</si>
  <si>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</si>
  <si>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</si>
  <si>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</si>
  <si>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</si>
  <si>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</si>
  <si>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</si>
  <si>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</si>
  <si>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</si>
  <si>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</si>
  <si>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</si>
  <si>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</si>
  <si>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</si>
  <si>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</si>
  <si>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</si>
  <si>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</si>
  <si>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</si>
  <si>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</si>
  <si>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</si>
  <si>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</si>
  <si>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</si>
  <si>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</si>
  <si>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</si>
  <si>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</si>
  <si>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</si>
  <si>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</si>
  <si>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</si>
  <si>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</si>
  <si>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</si>
  <si>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</si>
  <si>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</si>
  <si>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</si>
  <si>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</si>
  <si>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</si>
  <si>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</si>
  <si>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</si>
  <si>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</si>
  <si>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</si>
  <si>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</si>
  <si>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</si>
  <si>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</si>
  <si>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</si>
  <si>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</si>
  <si>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</si>
  <si>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</si>
  <si>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</si>
  <si>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</si>
  <si>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</si>
  <si>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</si>
  <si>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</si>
  <si>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</si>
  <si>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</si>
  <si>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</si>
  <si>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</si>
  <si>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</si>
  <si>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</si>
  <si>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</si>
  <si>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</si>
  <si>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</si>
  <si>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</si>
  <si>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</si>
  <si>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</si>
  <si>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</si>
  <si>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</si>
  <si>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</si>
  <si>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</si>
  <si>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</si>
  <si>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</si>
  <si>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</si>
  <si>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</si>
  <si>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</si>
  <si>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</si>
  <si>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</si>
  <si>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</si>
  <si>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</si>
  <si>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</si>
  <si>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</si>
  <si>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</si>
  <si>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</si>
  <si>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</si>
  <si>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</si>
  <si>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</si>
  <si>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</si>
  <si>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</si>
  <si>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</si>
  <si>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</si>
  <si>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</si>
  <si>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</si>
  <si>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</si>
  <si>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</si>
  <si>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</si>
  <si>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</si>
  <si>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</si>
  <si>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</si>
  <si>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</si>
  <si>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</si>
  <si>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</si>
  <si>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</si>
  <si>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</si>
  <si>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</si>
  <si>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</si>
  <si>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</si>
  <si>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</si>
  <si>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</si>
  <si>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</si>
  <si>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</si>
  <si>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</si>
  <si>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</si>
  <si>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</si>
  <si>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</si>
  <si>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</si>
  <si>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</si>
  <si>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</si>
  <si>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</si>
  <si>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</si>
  <si>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</si>
  <si>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</si>
  <si>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</si>
  <si>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</si>
  <si>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</si>
  <si>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</si>
  <si>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</si>
  <si>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</si>
  <si>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</si>
  <si>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</si>
  <si>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</si>
  <si>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</si>
  <si>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</si>
  <si>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</si>
  <si>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</si>
  <si>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</si>
  <si>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</si>
  <si>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</si>
  <si>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</si>
  <si>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</si>
  <si>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</si>
  <si>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</si>
  <si>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</si>
  <si>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</si>
  <si>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</si>
  <si>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</si>
  <si>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</si>
  <si>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</si>
  <si>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</si>
  <si>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</si>
  <si>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</si>
  <si>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</si>
  <si>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</si>
  <si>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</si>
  <si>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</si>
  <si>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</si>
  <si>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</si>
  <si>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</si>
  <si>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</si>
  <si>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</si>
  <si>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</si>
  <si>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</si>
  <si>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</si>
  <si>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</si>
  <si>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</si>
  <si>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</si>
  <si>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</si>
  <si>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</si>
  <si>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</si>
  <si>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</si>
  <si>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</si>
  <si>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</si>
  <si>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</si>
  <si>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</si>
  <si>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</si>
  <si>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</si>
  <si>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</si>
  <si>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</si>
  <si>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</si>
  <si>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</si>
  <si>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</si>
  <si>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</si>
  <si>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</si>
  <si>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</si>
  <si>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</si>
  <si>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</si>
  <si>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</si>
  <si>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</si>
  <si>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</si>
  <si>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</si>
  <si>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</si>
  <si>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</si>
  <si>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</si>
  <si>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</si>
  <si>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</si>
  <si>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</si>
  <si>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</si>
  <si>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</si>
  <si>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</si>
  <si>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</si>
  <si>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</si>
  <si>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</si>
  <si>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</si>
  <si>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</si>
  <si>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</si>
  <si>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</si>
  <si>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</si>
  <si>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</si>
  <si>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</si>
  <si>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</si>
  <si>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</si>
  <si>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</si>
  <si>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</si>
  <si>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</si>
  <si>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</si>
  <si>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</si>
  <si>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</si>
  <si>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</si>
  <si>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</si>
  <si>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</si>
  <si>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</si>
  <si>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</si>
  <si>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</si>
  <si>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</si>
  <si>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</si>
  <si>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</si>
  <si>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</si>
  <si>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</si>
  <si>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</si>
  <si>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</si>
  <si>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</si>
  <si>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</si>
  <si>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</si>
  <si>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</si>
  <si>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</si>
  <si>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</si>
  <si>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</si>
  <si>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</si>
  <si>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</si>
  <si>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</si>
  <si>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</si>
  <si>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</si>
  <si>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</si>
  <si>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</si>
  <si>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</si>
  <si>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</si>
  <si>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</si>
  <si>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</si>
  <si>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</si>
  <si>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</si>
  <si>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</si>
  <si>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</si>
  <si>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</si>
  <si>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</si>
  <si>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</si>
  <si>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</si>
  <si>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</si>
  <si>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</si>
  <si>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</si>
  <si>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</si>
  <si>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</si>
  <si>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</si>
  <si>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</si>
  <si>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</si>
  <si>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</si>
  <si>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</si>
  <si>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</si>
  <si>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</si>
  <si>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</si>
  <si>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</si>
  <si>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</si>
  <si>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</si>
  <si>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</si>
  <si>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</si>
  <si>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</si>
  <si>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</si>
  <si>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</si>
  <si>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</si>
  <si>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</si>
  <si>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</si>
  <si>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</si>
  <si>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</si>
  <si>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</si>
  <si>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</si>
  <si>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</si>
  <si>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</si>
  <si>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</si>
  <si>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</si>
  <si>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</si>
  <si>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</si>
  <si>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</si>
  <si>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</si>
  <si>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</si>
  <si>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</si>
  <si>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</si>
  <si>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</si>
  <si>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</si>
  <si>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</si>
  <si>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</si>
  <si>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</si>
  <si>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</si>
  <si>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</si>
  <si>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</si>
  <si>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</si>
  <si>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</si>
  <si>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</si>
  <si>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</si>
  <si>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</si>
  <si>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</si>
  <si>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</si>
  <si>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</si>
  <si>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</si>
  <si>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</si>
  <si>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</si>
  <si>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</si>
  <si>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</si>
  <si>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</si>
  <si>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</si>
  <si>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</si>
  <si>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</si>
  <si>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</si>
  <si>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</si>
  <si>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</si>
  <si>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</si>
  <si>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</si>
  <si>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</si>
  <si>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</si>
  <si>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</si>
  <si>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</si>
  <si>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</si>
  <si>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</si>
  <si>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</si>
  <si>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</si>
  <si>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</si>
  <si>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</si>
  <si>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</si>
  <si>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</si>
  <si>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</si>
  <si>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</si>
  <si>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</si>
  <si>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</si>
  <si>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</si>
  <si>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</si>
  <si>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</si>
  <si>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</si>
  <si>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</si>
  <si>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</si>
  <si>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</si>
  <si>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</si>
  <si>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</si>
  <si>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</si>
  <si>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</si>
  <si>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</si>
  <si>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</si>
  <si>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</si>
  <si>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</si>
  <si>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</si>
  <si>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</si>
  <si>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</si>
  <si>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</si>
  <si>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</si>
  <si>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</si>
  <si>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</si>
  <si>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</si>
  <si>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</si>
  <si>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</si>
  <si>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</si>
  <si>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</si>
  <si>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</si>
  <si>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</si>
  <si>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</si>
  <si>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</si>
  <si>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</si>
  <si>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</si>
  <si>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</si>
  <si>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</si>
  <si>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</si>
  <si>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</si>
  <si>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</si>
  <si>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</si>
  <si>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</si>
  <si>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</si>
  <si>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</si>
  <si>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</si>
  <si>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</si>
  <si>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</si>
  <si>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</si>
  <si>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</si>
  <si>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</si>
  <si>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</si>
  <si>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</si>
  <si>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</si>
  <si>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</si>
  <si>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</si>
  <si>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</si>
  <si>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</si>
  <si>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</si>
  <si>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</si>
  <si>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</si>
  <si>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</si>
  <si>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</si>
  <si>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</si>
  <si>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</si>
  <si>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</si>
  <si>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</si>
  <si>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</si>
  <si>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</si>
  <si>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</si>
  <si>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</si>
  <si>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</si>
  <si>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</si>
  <si>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</si>
  <si>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</si>
  <si>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</si>
  <si>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</si>
  <si>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</si>
  <si>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</si>
  <si>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</si>
  <si>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</si>
  <si>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</si>
  <si>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</si>
  <si>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</si>
  <si>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</si>
  <si>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</si>
  <si>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</si>
  <si>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</si>
  <si>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</si>
  <si>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</si>
  <si>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</si>
  <si>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</si>
  <si>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</si>
  <si>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</si>
  <si>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</si>
  <si>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</si>
  <si>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</si>
  <si>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</si>
  <si>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</si>
  <si>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</si>
  <si>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</si>
  <si>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</si>
  <si>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</si>
  <si>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</si>
  <si>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</si>
  <si>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</si>
  <si>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</si>
  <si>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</si>
  <si>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</si>
  <si>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</si>
  <si>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</si>
  <si>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</si>
  <si>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</si>
  <si>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</si>
  <si>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</si>
  <si>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</si>
  <si>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</si>
  <si>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</si>
  <si>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</si>
  <si>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</si>
  <si>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</si>
  <si>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</si>
  <si>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</si>
  <si>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</si>
  <si>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</si>
  <si>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</si>
  <si>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</si>
  <si>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</si>
  <si>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</si>
  <si>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</si>
  <si>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</si>
  <si>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</si>
  <si>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</si>
  <si>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</si>
  <si>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</si>
  <si>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</si>
  <si>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</si>
  <si>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</si>
  <si>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</si>
  <si>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</si>
  <si>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</si>
  <si>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</si>
  <si>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</si>
  <si>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</si>
  <si>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</si>
  <si>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</si>
  <si>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</si>
  <si>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</si>
  <si>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</si>
  <si>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</si>
  <si>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</si>
  <si>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</si>
  <si>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</si>
  <si>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</si>
  <si>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</si>
  <si>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</si>
  <si>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</si>
  <si>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</si>
  <si>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</si>
  <si>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</si>
  <si>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</si>
  <si>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</si>
  <si>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</si>
  <si>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</si>
  <si>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</si>
  <si>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</si>
  <si>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</si>
  <si>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</si>
  <si>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</si>
  <si>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</si>
  <si>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</si>
  <si>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</si>
  <si>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</si>
  <si>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</si>
  <si>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</si>
  <si>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</si>
  <si>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</si>
  <si>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</si>
  <si>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</si>
  <si>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</si>
  <si>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</si>
  <si>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</si>
  <si>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</si>
  <si>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</si>
  <si>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</si>
  <si>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</si>
  <si>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</si>
  <si>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</si>
  <si>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</si>
  <si>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</si>
  <si>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</si>
  <si>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</si>
  <si>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</si>
  <si>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</si>
  <si>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</si>
  <si>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</si>
  <si>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</si>
  <si>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</si>
  <si>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</si>
  <si>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</si>
  <si>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</si>
  <si>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</si>
  <si>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</si>
  <si>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</si>
  <si>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</si>
  <si>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</si>
  <si>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</si>
  <si>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</si>
  <si>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</si>
  <si>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</si>
  <si>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</si>
  <si>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</si>
  <si>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</si>
  <si>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</si>
  <si>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</si>
  <si>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</si>
  <si>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</si>
  <si>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</si>
  <si>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</si>
  <si>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</si>
  <si>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</si>
  <si>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</si>
  <si>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</si>
  <si>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</si>
  <si>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</si>
  <si>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</si>
  <si>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</si>
  <si>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</si>
  <si>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</si>
  <si>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</si>
  <si>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</si>
  <si>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</si>
  <si>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</si>
  <si>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</si>
  <si>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</si>
  <si>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</si>
  <si>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</si>
  <si>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</si>
  <si>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</si>
  <si>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</si>
  <si>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</si>
  <si>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</si>
  <si>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</si>
  <si>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</si>
  <si>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</si>
  <si>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</si>
  <si>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</si>
  <si>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</si>
  <si>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</si>
  <si>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</si>
  <si>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</si>
  <si>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</si>
  <si>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</si>
  <si>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</si>
  <si>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</si>
  <si>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</si>
  <si>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</si>
  <si>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</si>
  <si>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</si>
  <si>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</si>
  <si>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</si>
  <si>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</si>
  <si>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</si>
  <si>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</si>
  <si>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</si>
  <si>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</si>
  <si>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</si>
  <si>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</si>
  <si>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</si>
  <si>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</si>
  <si>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</si>
  <si>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</si>
  <si>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</si>
  <si>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</si>
  <si>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</si>
  <si>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</si>
  <si>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</si>
  <si>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</si>
  <si>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</si>
  <si>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</si>
  <si>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</si>
  <si>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</si>
  <si>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</si>
  <si>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</si>
  <si>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</si>
  <si>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</si>
  <si>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</si>
  <si>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</si>
  <si>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</si>
  <si>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</si>
  <si>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</si>
  <si>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</si>
  <si>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</si>
  <si>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</si>
  <si>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</si>
  <si>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</si>
  <si>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</si>
  <si>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</si>
  <si>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</si>
  <si>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</si>
  <si>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</si>
  <si>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</si>
  <si>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</si>
  <si>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</si>
  <si>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</si>
  <si>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</si>
  <si>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</si>
  <si>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</si>
  <si>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</si>
  <si>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</si>
  <si>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</si>
  <si>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</si>
  <si>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</si>
  <si>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</si>
  <si>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</si>
  <si>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</si>
  <si>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</si>
  <si>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</si>
  <si>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</si>
  <si>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</si>
  <si>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</si>
  <si>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</si>
  <si>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</si>
  <si>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</si>
  <si>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</si>
  <si>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</si>
  <si>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</si>
  <si>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</si>
  <si>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</si>
  <si>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</si>
  <si>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</si>
  <si>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</si>
  <si>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</si>
  <si>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</si>
  <si>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</si>
  <si>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</si>
  <si>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</si>
  <si>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</si>
  <si>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</si>
  <si>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</si>
  <si>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</si>
  <si>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</si>
  <si>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</si>
  <si>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</si>
  <si>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</si>
  <si>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</si>
  <si>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</si>
  <si>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</si>
  <si>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</si>
  <si>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</si>
  <si>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</si>
  <si>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</si>
  <si>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</si>
  <si>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</si>
  <si>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</si>
  <si>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</si>
  <si>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</si>
  <si>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</si>
  <si>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</si>
  <si>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</si>
  <si>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</si>
  <si>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</si>
  <si>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</si>
  <si>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</si>
  <si>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</si>
  <si>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</si>
  <si>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</si>
  <si>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</si>
  <si>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</si>
  <si>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</si>
  <si>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</si>
  <si>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</si>
  <si>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</si>
  <si>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</si>
  <si>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</si>
  <si>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</si>
  <si>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</si>
  <si>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</si>
  <si>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</si>
  <si>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</si>
  <si>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</si>
  <si>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</si>
  <si>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</si>
  <si>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</si>
  <si>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</si>
  <si>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</si>
  <si>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</si>
  <si>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</si>
  <si>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</si>
  <si>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</si>
  <si>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</si>
  <si>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</si>
  <si>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</si>
  <si>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</si>
  <si>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</si>
  <si>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</si>
  <si>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</si>
  <si>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</si>
  <si>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</si>
  <si>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</si>
  <si>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</si>
  <si>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</si>
  <si>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</si>
  <si>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</si>
  <si>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</si>
  <si>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</si>
  <si>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</si>
  <si>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</si>
  <si>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</si>
  <si>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</si>
  <si>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</si>
  <si>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</si>
  <si>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</si>
  <si>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</si>
  <si>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</si>
  <si>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</si>
  <si>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</si>
  <si>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</si>
  <si>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</si>
  <si>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</si>
  <si>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</si>
  <si>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</si>
  <si>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</si>
  <si>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</si>
  <si>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</si>
  <si>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</si>
  <si>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</si>
  <si>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</si>
  <si>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</si>
  <si>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</si>
  <si>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</si>
  <si>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</si>
  <si>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</si>
  <si>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</si>
  <si>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</si>
  <si>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</si>
  <si>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</si>
  <si>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</si>
  <si>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</si>
  <si>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</si>
  <si>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</si>
  <si>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</si>
  <si>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</si>
  <si>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</si>
  <si>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</si>
  <si>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</si>
  <si>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</si>
  <si>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</si>
  <si>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</si>
  <si>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</si>
  <si>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</si>
  <si>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</si>
  <si>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</si>
  <si>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</si>
  <si>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</si>
  <si>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</si>
  <si>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</si>
  <si>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</si>
  <si>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</si>
  <si>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</si>
  <si>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</si>
  <si>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</si>
  <si>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</si>
  <si>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</si>
  <si>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</si>
  <si>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</si>
  <si>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</si>
  <si>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</si>
  <si>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</si>
  <si>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</si>
  <si>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</si>
  <si>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</si>
  <si>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</si>
  <si>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</si>
  <si>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</si>
  <si>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</si>
  <si>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</si>
  <si>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</si>
  <si>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</si>
  <si>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</si>
  <si>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</si>
  <si>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</si>
  <si>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</si>
  <si>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</si>
  <si>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</si>
  <si>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</si>
  <si>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</si>
  <si>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</si>
  <si>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</si>
  <si>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</si>
  <si>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</si>
  <si>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</si>
  <si>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</si>
  <si>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</si>
  <si>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</si>
  <si>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</si>
  <si>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</si>
  <si>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</si>
  <si>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</si>
  <si>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</si>
  <si>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</si>
  <si>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</si>
  <si>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</si>
  <si>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</si>
  <si>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</si>
  <si>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</si>
  <si>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</si>
  <si>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</si>
  <si>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</si>
  <si>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</si>
  <si>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</si>
  <si>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</si>
  <si>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</si>
  <si>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</si>
  <si>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</si>
  <si>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</si>
  <si>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</si>
  <si>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</si>
  <si>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</si>
  <si>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</si>
  <si>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</si>
  <si>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</si>
  <si>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</si>
  <si>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</si>
  <si>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</si>
  <si>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</si>
  <si>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</si>
  <si>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</si>
  <si>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</si>
  <si>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</si>
  <si>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</si>
  <si>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</si>
  <si>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</si>
  <si>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</si>
  <si>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</si>
  <si>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</si>
  <si>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</si>
  <si>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</si>
  <si>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</si>
  <si>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</si>
  <si>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</si>
  <si>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</si>
  <si>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</si>
  <si>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</si>
  <si>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</si>
  <si>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</si>
  <si>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</si>
  <si>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</si>
  <si>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</si>
  <si>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</si>
  <si>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</si>
  <si>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</si>
  <si>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</si>
  <si>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</si>
  <si>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</si>
  <si>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</si>
  <si>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</si>
  <si>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</si>
  <si>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</si>
  <si>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</si>
  <si>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</si>
  <si>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</si>
  <si>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</si>
  <si>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</si>
  <si>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</si>
  <si>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</si>
  <si>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</si>
  <si>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</si>
  <si>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</si>
  <si>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</si>
  <si>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</si>
  <si>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</si>
  <si>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</si>
  <si>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</si>
  <si>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</si>
  <si>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</si>
  <si>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</si>
  <si>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</si>
  <si>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</si>
  <si>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</si>
  <si>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</si>
  <si>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</si>
  <si>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</si>
  <si>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</si>
  <si>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</si>
  <si>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</si>
  <si>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</si>
  <si>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</si>
  <si>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</si>
  <si>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</si>
  <si>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</si>
  <si>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</si>
  <si>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</si>
  <si>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</si>
  <si>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</si>
  <si>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</si>
  <si>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</si>
  <si>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</si>
  <si>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</si>
  <si>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</si>
  <si>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</si>
  <si>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</si>
  <si>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</si>
  <si>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</si>
  <si>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</si>
  <si>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</si>
  <si>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</si>
  <si>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</si>
  <si>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</si>
  <si>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</si>
  <si>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</si>
  <si>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</si>
  <si>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</si>
  <si>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</si>
  <si>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</si>
  <si>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</si>
  <si>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</si>
  <si>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</si>
  <si>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</si>
  <si>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</si>
  <si>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</si>
  <si>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</si>
  <si>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</si>
  <si>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</si>
  <si>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</si>
  <si>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</si>
  <si>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</si>
  <si>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</si>
  <si>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</si>
  <si>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</si>
  <si>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</si>
  <si>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</si>
  <si>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</si>
  <si>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</si>
  <si>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</si>
  <si>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</si>
  <si>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</si>
  <si>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</si>
  <si>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</si>
  <si>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</si>
  <si>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</si>
  <si>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</si>
  <si>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</si>
  <si>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</si>
  <si>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</si>
  <si>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</si>
  <si>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</si>
  <si>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</si>
  <si>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</si>
  <si>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</si>
  <si>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</si>
  <si>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</si>
  <si>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</si>
  <si>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</si>
  <si>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</si>
  <si>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</si>
  <si>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</si>
  <si>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</si>
  <si>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</si>
  <si>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</si>
  <si>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</si>
  <si>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</si>
  <si>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</si>
  <si>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</si>
  <si>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</si>
  <si>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</si>
  <si>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</si>
  <si>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</si>
  <si>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</si>
  <si>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</si>
  <si>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</si>
  <si>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</si>
  <si>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</si>
  <si>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</si>
  <si>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</si>
  <si>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</si>
  <si>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</si>
  <si>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</si>
  <si>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</si>
  <si>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</si>
  <si>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</si>
  <si>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</si>
  <si>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</si>
  <si>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</si>
  <si>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</si>
  <si>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</si>
  <si>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</si>
  <si>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</si>
  <si>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</si>
  <si>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</si>
  <si>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</si>
  <si>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</si>
  <si>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</si>
  <si>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</si>
  <si>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</si>
  <si>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</si>
  <si>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</si>
  <si>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</si>
  <si>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</si>
  <si>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</si>
  <si>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</si>
  <si>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</si>
  <si>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</si>
  <si>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</si>
  <si>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</si>
  <si>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</si>
  <si>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</si>
  <si>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</si>
  <si>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</si>
  <si>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</si>
  <si>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</si>
  <si>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</si>
  <si>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</si>
  <si>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</si>
  <si>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</si>
  <si>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</si>
  <si>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</si>
  <si>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</si>
  <si>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</si>
  <si>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</si>
  <si>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</si>
  <si>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</si>
  <si>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</si>
  <si>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</si>
  <si>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</si>
  <si>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</si>
  <si>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</si>
  <si>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</si>
  <si>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</si>
  <si>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</si>
  <si>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</si>
  <si>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</si>
  <si>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</si>
  <si>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</si>
  <si>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</si>
  <si>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</si>
  <si>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</si>
  <si>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</si>
  <si>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</si>
  <si>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</si>
  <si>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</si>
  <si>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</si>
  <si>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</si>
  <si>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</si>
  <si>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</si>
  <si>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</si>
  <si>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</si>
  <si>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</si>
  <si>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</si>
  <si>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</si>
  <si>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</si>
  <si>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</si>
  <si>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</si>
  <si>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</si>
  <si>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</si>
  <si>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</si>
  <si>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</si>
  <si>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</si>
  <si>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</si>
  <si>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</si>
  <si>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</si>
  <si>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</si>
  <si>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</si>
  <si>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</si>
  <si>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</si>
  <si>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</si>
  <si>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</si>
  <si>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</si>
  <si>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</si>
  <si>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</si>
  <si>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</si>
  <si>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</si>
  <si>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</si>
  <si>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</si>
  <si>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</si>
  <si>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</si>
  <si>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</si>
  <si>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</si>
  <si>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</si>
  <si>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</si>
  <si>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</si>
  <si>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</si>
  <si>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</si>
  <si>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</si>
  <si>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</si>
  <si>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</si>
  <si>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</si>
  <si>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</si>
  <si>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</si>
  <si>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</si>
  <si>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</si>
  <si>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</si>
  <si>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</si>
  <si>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</si>
  <si>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</si>
  <si>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</si>
  <si>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</si>
  <si>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</si>
  <si>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</si>
  <si>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</si>
  <si>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</si>
  <si>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</si>
  <si>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</si>
  <si>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</si>
  <si>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</si>
  <si>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</si>
  <si>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</si>
  <si>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</si>
  <si>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</si>
  <si>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</si>
  <si>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</si>
  <si>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</si>
  <si>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</si>
  <si>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</si>
  <si>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</si>
  <si>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</si>
  <si>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</si>
  <si>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</si>
  <si>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</si>
  <si>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</si>
  <si>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</si>
  <si>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</si>
  <si>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</si>
  <si>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</si>
  <si>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</si>
  <si>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</si>
  <si>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</si>
  <si>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</si>
  <si>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</si>
  <si>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</si>
  <si>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</si>
  <si>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</si>
  <si>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</si>
  <si>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</si>
  <si>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</si>
  <si>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</si>
  <si>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</si>
  <si>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</si>
  <si>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</si>
  <si>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</si>
  <si>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</si>
  <si>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</si>
  <si>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</si>
  <si>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</si>
  <si>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</si>
  <si>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</si>
  <si>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</si>
  <si>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</si>
  <si>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</si>
  <si>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</si>
  <si>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</si>
  <si>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</si>
  <si>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</si>
  <si>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</si>
  <si>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</si>
  <si>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</si>
  <si>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</si>
  <si>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</si>
  <si>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</si>
  <si>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</si>
  <si>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</si>
  <si>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</si>
  <si>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</si>
  <si>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</si>
  <si>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</si>
  <si>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</si>
  <si>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</si>
  <si>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</si>
  <si>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</si>
  <si>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</si>
  <si>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</si>
  <si>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</si>
  <si>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</si>
  <si>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</si>
  <si>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</si>
  <si>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</si>
  <si>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</si>
  <si>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</si>
  <si>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</si>
  <si>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</si>
  <si>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</si>
  <si>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</si>
  <si>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</si>
  <si>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</si>
  <si>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</si>
  <si>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</si>
  <si>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</si>
  <si>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</si>
  <si>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</si>
  <si>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</si>
  <si>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</si>
  <si>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</si>
  <si>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</si>
  <si>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</si>
  <si>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</si>
  <si>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</si>
  <si>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</si>
  <si>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</si>
  <si>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</si>
  <si>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</si>
  <si>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</si>
  <si>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</si>
  <si>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</si>
  <si>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</si>
  <si>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</si>
  <si>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</si>
  <si>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</si>
  <si>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</si>
  <si>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</si>
  <si>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</si>
  <si>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</si>
  <si>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</si>
  <si>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</si>
  <si>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</si>
  <si>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</si>
  <si>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</si>
  <si>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</si>
  <si>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</si>
  <si>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</si>
  <si>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</si>
  <si>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</si>
  <si>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</si>
  <si>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</si>
  <si>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User Count in Group</t>
  </si>
  <si>
    <t>Paid Conversion Rate</t>
  </si>
  <si>
    <t>Total Revenue Per User</t>
  </si>
  <si>
    <t>Total Users</t>
  </si>
  <si>
    <t>No of users converted to paid</t>
  </si>
  <si>
    <t>Users converted to paid / total users</t>
  </si>
  <si>
    <t>Average revenue per user</t>
  </si>
  <si>
    <t>Total revenue / total users</t>
  </si>
  <si>
    <t>Total Revenue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</si>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</sst>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588A-4476-4ECB-8FE5-1F4C861CE3D6}">
  <dimension ref="A1:Z1409"/>
  <sheetViews>
    <sheetView tabSelected="1" workbookViewId="0">
      <selection activeCell="G2" sqref="G2:G4"/>
    </sheetView>
  </sheetViews>
  <sheetFormatPr defaultRowHeight="14.5"/>
  <cols>
    <col min="2" max="2" width="11" customWidth="1"/>
    <col min="22" max="22" width="10.26953125" customWidth="1"/>
    <col min="23" max="23" width="9.453125" customWidth="1"/>
    <col min="24" max="24" width="10" customWidth="1"/>
    <col min="26" max="26" width="14.08984375" customWidth="1"/>
  </cols>
  <sheetData>
    <row r="1" spans="1:26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>
      <c r="A2" t="s">
        <v>16</v>
      </c>
      <c r="B2" s="2">
        <v>45732</v>
      </c>
      <c r="C2" s="3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2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U3" s="4" t="s">
        <v>1433</v>
      </c>
      <c r="V3" s="4"/>
      <c r="W3" s="4" t="s">
        <v>1434</v>
      </c>
      <c r="X3" s="4"/>
      <c r="Y3" s="4" t="s">
        <v>1435</v>
      </c>
      <c r="Z3" s="4"/>
    </row>
    <row r="4" spans="1:2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U4" t="s">
        <v>17</v>
      </c>
      <c r="V4" t="s">
        <v>723</v>
      </c>
    </row>
    <row r="5" spans="1:2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T5" t="s">
        <v>18</v>
      </c>
      <c r="U5">
        <f>COUNTIFS(C2:C1409,"Control",D2:D1409,"North")</f>
        <v>203</v>
      </c>
      <c r="V5">
        <f>COUNTIFS(C2:C1409,"Treatment",D2:D1409,"North")</f>
        <v>180</v>
      </c>
      <c r="W5">
        <f>COUNTIFS(K2:K1409,"&lt;&gt;0",D2:D1409,"North")</f>
        <v>23</v>
      </c>
    </row>
    <row r="6" spans="1:2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T6" t="s">
        <v>32</v>
      </c>
      <c r="U6">
        <f>COUNTIFS(C3:C1409,"Control",D3:D1409,"South")</f>
        <v>184</v>
      </c>
      <c r="V6">
        <f>COUNTIFS(C2:C1409,"Treatment",D2:D1409,"South")</f>
        <v>184</v>
      </c>
    </row>
    <row r="7" spans="1:2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T7" t="s">
        <v>28</v>
      </c>
      <c r="U7">
        <f>COUNTIFS(C4:C1409,"Control",D4:D1409,"East")</f>
        <v>158</v>
      </c>
      <c r="V7">
        <f>COUNTIFS(C2:C1409,"Treatment",D2:D1409,"East")</f>
        <v>172</v>
      </c>
    </row>
    <row r="8" spans="1:2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T8" t="s">
        <v>23</v>
      </c>
      <c r="U8">
        <f>COUNTIFS(C5:C1409,"Control",D5:D1409,"East")</f>
        <v>157</v>
      </c>
      <c r="V8">
        <f>COUNTIFS(C2:C1409,"Treatment",D2:D1409,"West")</f>
        <v>179</v>
      </c>
    </row>
    <row r="9" spans="1:2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U9">
        <f>SUM(U5:U8)</f>
        <v>702</v>
      </c>
      <c r="V9">
        <f>SUM(V5:V8)</f>
        <v>715</v>
      </c>
    </row>
    <row r="10" spans="1:2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2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2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2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2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2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2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mergeCells count="3">
    <mergeCell ref="U3:V3"/>
    <mergeCell ref="W3:X3"/>
    <mergeCell ref="Y3:Z3"/>
  </mergeCells>
  <conditionalFormatting sqref="A2:A140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F5DD-0984-4270-8B22-47A3AE946370}">
  <dimension ref="A1:I7"/>
  <sheetViews>
    <sheetView workbookViewId="0">
      <selection activeCell="F13" sqref="F13"/>
    </sheetView>
  </sheetViews>
  <sheetFormatPr defaultRowHeight="14.5"/>
  <cols>
    <col min="3" max="3" width="12.6328125" customWidth="1"/>
    <col min="4" max="4" width="20.453125" customWidth="1"/>
    <col min="5" max="5" width="25.26953125" customWidth="1"/>
    <col min="6" max="6" width="26" customWidth="1"/>
    <col min="7" max="7" width="23.36328125" customWidth="1"/>
    <col min="8" max="8" width="29.7265625" customWidth="1"/>
  </cols>
  <sheetData>
    <row r="1" spans="1:9" ht="42" customHeight="1">
      <c r="A1" s="1"/>
      <c r="B1" s="5" t="s">
        <v>1433</v>
      </c>
      <c r="C1" s="5"/>
      <c r="D1" s="1" t="s">
        <v>1436</v>
      </c>
      <c r="E1" s="5" t="s">
        <v>1434</v>
      </c>
      <c r="F1" s="5"/>
      <c r="G1" s="5" t="s">
        <v>1439</v>
      </c>
      <c r="H1" s="5"/>
    </row>
    <row r="2" spans="1:9" ht="28">
      <c r="A2" s="1"/>
      <c r="B2" s="1" t="s">
        <v>17</v>
      </c>
      <c r="C2" s="1" t="s">
        <v>723</v>
      </c>
      <c r="D2" s="1"/>
      <c r="E2" s="1" t="s">
        <v>1437</v>
      </c>
      <c r="F2" s="1" t="s">
        <v>1438</v>
      </c>
      <c r="G2" s="1" t="s">
        <v>1441</v>
      </c>
      <c r="H2" s="5" t="s">
        <v>1440</v>
      </c>
      <c r="I2" s="5"/>
    </row>
    <row r="3" spans="1:9">
      <c r="A3" s="1" t="s">
        <v>18</v>
      </c>
      <c r="B3">
        <f>COUNTIFS(Data!$C$2:'Data'!$C$1409,"Control",Data!$D$2:'Data'!$D$1409,"North")</f>
        <v>203</v>
      </c>
      <c r="C3">
        <f>COUNTIFS(Data!$C$2:'Data'!$C$1409,"Treatment",Data!$D$2:'Data'!$D$1409,"North")</f>
        <v>180</v>
      </c>
      <c r="D3">
        <f>B3+C3</f>
        <v>383</v>
      </c>
      <c r="E3">
        <f>COUNTIFS(Data!$K$2:'Data'!$K$1409,"&lt;&gt;0",Data!$D$2:'Data'!$D$1409,"North")</f>
        <v>23</v>
      </c>
      <c r="F3">
        <f>E3/D3</f>
        <v>6.0052219321148827E-2</v>
      </c>
      <c r="G3">
        <f>SUMIF(Data!$D$2:'Data'!$D$1409,"North",Data!$L$2:'Data'!$L$1409)</f>
        <v>31558.670000000006</v>
      </c>
      <c r="H3">
        <f>G3/D3</f>
        <v>82.398616187989575</v>
      </c>
    </row>
    <row r="4" spans="1:9">
      <c r="A4" s="1" t="s">
        <v>32</v>
      </c>
      <c r="B4">
        <f>COUNTIFS(Data!$C$2:'Data'!$C$1409,"Control",Data!$D$2:'Data'!$D$1409,"South")</f>
        <v>184</v>
      </c>
      <c r="C4">
        <f>COUNTIFS(Data!$C$2:'Data'!$C$1409,"Treatment",Data!$D$2:'Data'!$D$1409,"South")</f>
        <v>184</v>
      </c>
      <c r="D4">
        <f>B4+C4</f>
        <v>368</v>
      </c>
      <c r="E4">
        <f>COUNTIFS(Data!$K$2:'Data'!$K$1409,"&lt;&gt;0",Data!$D$2:'Data'!$D$1409,"South")</f>
        <v>20</v>
      </c>
      <c r="F4">
        <f>E4/D4</f>
        <v>5.434782608695652E-2</v>
      </c>
      <c r="G4">
        <f>SUMIF(Data!$D$2:'Data'!$D$1409,"South",Data!$L$2:'Data'!$L$1409)</f>
        <v>22638.399999999994</v>
      </c>
      <c r="H4">
        <f>G4/D4</f>
        <v>61.517391304347811</v>
      </c>
    </row>
    <row r="5" spans="1:9">
      <c r="A5" s="1" t="s">
        <v>28</v>
      </c>
      <c r="B5">
        <f>COUNTIFS(Data!$C$2:'Data'!$C$1409,"Control",Data!$D$2:'Data'!$D$1409,"East")</f>
        <v>158</v>
      </c>
      <c r="C5">
        <f>COUNTIFS(Data!$C$2:'Data'!$C$1409,"Treatment",Data!$D$2:'Data'!$D$1409,"East")</f>
        <v>172</v>
      </c>
      <c r="D5">
        <f>B5+C5</f>
        <v>330</v>
      </c>
      <c r="E5">
        <f>COUNTIFS(Data!$K$2:'Data'!$K$1409,"&lt;&gt;0",Data!$D$2:'Data'!$D$1409,"East")</f>
        <v>15</v>
      </c>
      <c r="F5">
        <f>E5/D5</f>
        <v>4.5454545454545456E-2</v>
      </c>
      <c r="G5">
        <f>SUMIF(Data!$D$2:'Data'!$D$1409,"East",Data!$L$2:'Data'!$L$1409)</f>
        <v>10861.14</v>
      </c>
      <c r="H5">
        <f>G5/D5</f>
        <v>32.912545454545452</v>
      </c>
    </row>
    <row r="6" spans="1:9">
      <c r="A6" s="1" t="s">
        <v>23</v>
      </c>
      <c r="B6">
        <f>COUNTIFS(Data!$C$2:'Data'!$C$1409,"Control",Data!$D$2:'Data'!$D$1409,"West")</f>
        <v>148</v>
      </c>
      <c r="C6">
        <f>COUNTIFS(Data!$C$2:'Data'!$C$1409,"Treatment",Data!$D$2:'Data'!$D$1409,"West")</f>
        <v>179</v>
      </c>
      <c r="D6">
        <f>B6+C6</f>
        <v>327</v>
      </c>
      <c r="E6">
        <f>COUNTIFS(Data!$K$2:'Data'!$K$1409,"&lt;&gt;0",Data!$D$2:'Data'!$D$1409,"West")</f>
        <v>14</v>
      </c>
      <c r="F6">
        <f>E6/D6</f>
        <v>4.2813455657492352E-2</v>
      </c>
      <c r="G6">
        <f>SUMIF(Data!$D$2:'Data'!$D$1409,"West",Data!$L$2:'Data'!$L$1409)</f>
        <v>9324.7799999999988</v>
      </c>
      <c r="H6">
        <f>G6/D6</f>
        <v>28.516146788990824</v>
      </c>
    </row>
    <row r="7" spans="1:9">
      <c r="B7">
        <f>SUM(B3:B6)</f>
        <v>693</v>
      </c>
      <c r="C7">
        <f>SUM(C3:C6)</f>
        <v>715</v>
      </c>
      <c r="D7">
        <f>B7+C7</f>
        <v>1408</v>
      </c>
      <c r="E7">
        <f>SUM(E3:E6)</f>
        <v>72</v>
      </c>
      <c r="F7">
        <f>E7/D7</f>
        <v>5.113636363636364E-2</v>
      </c>
      <c r="G7">
        <f>SUM(G3:G6)</f>
        <v>74382.989999999991</v>
      </c>
      <c r="H7">
        <f>G7/D7</f>
        <v>52.828828124999994</v>
      </c>
    </row>
  </sheetData>
  <mergeCells count="4">
    <mergeCell ref="B1:C1"/>
    <mergeCell ref="E1:F1"/>
    <mergeCell ref="G1:H1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E2EF-DB81-4E45-98CB-42B3D37F9D98}">
  <dimension ref="A1:I7"/>
  <sheetViews>
    <sheetView workbookViewId="0">
      <selection activeCell="H7" sqref="H7"/>
    </sheetView>
  </sheetViews>
  <sheetFormatPr defaultRowHeight="14.5"/>
  <cols>
    <col min="3" max="3" width="12.6328125" customWidth="1"/>
    <col min="4" max="4" width="20.453125" customWidth="1"/>
    <col min="5" max="5" width="25.26953125" customWidth="1"/>
    <col min="6" max="6" width="26" customWidth="1"/>
    <col min="7" max="7" width="23.36328125" customWidth="1"/>
    <col min="8" max="8" width="29.7265625" customWidth="1"/>
  </cols>
  <sheetData>
    <row r="1" spans="1:9" ht="30.5" customHeight="1">
      <c r="A1" s="1"/>
      <c r="B1" s="5" t="s">
        <v>1433</v>
      </c>
      <c r="C1" s="5"/>
      <c r="D1" s="1" t="s">
        <v>1436</v>
      </c>
      <c r="E1" s="5" t="s">
        <v>1434</v>
      </c>
      <c r="F1" s="5"/>
      <c r="G1" s="5" t="s">
        <v>1439</v>
      </c>
      <c r="H1" s="5"/>
    </row>
    <row r="2" spans="1:9" ht="29.5" customHeight="1">
      <c r="A2" s="1"/>
      <c r="B2" s="1" t="s">
        <v>17</v>
      </c>
      <c r="C2" s="1" t="s">
        <v>723</v>
      </c>
      <c r="D2" s="1"/>
      <c r="E2" s="1" t="s">
        <v>1437</v>
      </c>
      <c r="F2" s="1" t="s">
        <v>1438</v>
      </c>
      <c r="G2" s="1" t="s">
        <v>1441</v>
      </c>
      <c r="H2" s="5" t="s">
        <v>1440</v>
      </c>
      <c r="I2" s="5"/>
    </row>
    <row r="3" spans="1:9">
      <c r="A3" s="1" t="s">
        <v>19</v>
      </c>
      <c r="B3">
        <f>COUNTIFS(Data!$C$2:'Data'!$C$1409,"Control",Data!$E$2:'Data'!$E$1409,"Desktop")</f>
        <v>200</v>
      </c>
      <c r="C3">
        <f>COUNTIFS(Data!$C$2:'Data'!$C$1409,"Treatment",Data!$E$2:'Data'!$E$1409,"Desktop")</f>
        <v>214</v>
      </c>
      <c r="D3">
        <f>B3+C3</f>
        <v>414</v>
      </c>
      <c r="E3">
        <f>COUNTIFS(Data!$K$2:'Data'!$K$1409,"&lt;&gt;0",Data!$E$2:'Data'!$E$1409,"Desktop")</f>
        <v>23</v>
      </c>
      <c r="F3">
        <f>E3/D3</f>
        <v>5.5555555555555552E-2</v>
      </c>
      <c r="G3">
        <f>SUMIF(Data!$E$2:'Data'!$E$1409,"Desktop",Data!$L$2:'Data'!$L$1409)</f>
        <v>25753.629999999997</v>
      </c>
      <c r="H3">
        <f>G3/D3</f>
        <v>62.206835748792265</v>
      </c>
    </row>
    <row r="4" spans="1:9">
      <c r="A4" s="1" t="s">
        <v>24</v>
      </c>
      <c r="B4">
        <f>COUNTIFS(Data!$C$2:'Data'!$C$1409,"Control",Data!$E$2:'Data'!$E$1409,"Mobile")</f>
        <v>428</v>
      </c>
      <c r="C4">
        <f>COUNTIFS(Data!$C$2:'Data'!$C$1409,"Treatment",Data!$E$2:'Data'!$E$1409,"Mobile")</f>
        <v>436</v>
      </c>
      <c r="D4">
        <f>B4+C4</f>
        <v>864</v>
      </c>
      <c r="E4">
        <f>COUNTIFS(Data!$K$2:'Data'!$K$1409,"&lt;&gt;0",Data!$E$2:'Data'!$E$1409,"Mobile")</f>
        <v>43</v>
      </c>
      <c r="F4">
        <f>E4/D4</f>
        <v>4.9768518518518517E-2</v>
      </c>
      <c r="G4">
        <f>SUMIF(Data!$E$2:'Data'!$E$1409,"Mobile",Data!$L$2:'Data'!$L$1409)</f>
        <v>43560.09</v>
      </c>
      <c r="H4">
        <f>G4/D4</f>
        <v>50.416770833333331</v>
      </c>
    </row>
    <row r="5" spans="1:9">
      <c r="A5" s="1" t="s">
        <v>34</v>
      </c>
      <c r="B5">
        <f>COUNTIFS(Data!$C$2:'Data'!$C$1409,"Control",Data!$E$2:'Data'!$E$1409,"Tablet")</f>
        <v>56</v>
      </c>
      <c r="C5">
        <f>COUNTIFS(Data!$C$2:'Data'!$C$1409,"Treatment",Data!$E$2:'Data'!$E$1409,"Tablet")</f>
        <v>56</v>
      </c>
      <c r="D5">
        <f>B5+C5</f>
        <v>112</v>
      </c>
      <c r="E5">
        <f>COUNTIFS(Data!$K$2:'Data'!$K$1409,"&lt;&gt;0",Data!$E$2:'Data'!$E$1409,"Tablet")</f>
        <v>5</v>
      </c>
      <c r="F5">
        <f>E5/D5</f>
        <v>4.4642857142857144E-2</v>
      </c>
      <c r="G5">
        <f>SUMIF(Data!$E$2:'Data'!$E$1409,"Tablet",Data!$L$2:'Data'!$L$1409)</f>
        <v>4515.8999999999996</v>
      </c>
      <c r="H5">
        <f>G5/D5</f>
        <v>40.320535714285711</v>
      </c>
    </row>
    <row r="6" spans="1:9">
      <c r="A6" s="1" t="s">
        <v>1442</v>
      </c>
      <c r="B6">
        <f>COUNTIFS(Data!$C$2:'Data'!$C$1409,"Control",Data!$E$2:'Data'!$E$1409,"")</f>
        <v>9</v>
      </c>
      <c r="C6">
        <f>COUNTIFS(Data!$C$2:'Data'!$C$1409,"Treatment",Data!$E$2:'Data'!$E$1409,"")</f>
        <v>9</v>
      </c>
      <c r="D6">
        <f>B6+C6</f>
        <v>18</v>
      </c>
      <c r="E6">
        <f>COUNTIFS(Data!$K$2:'Data'!$K$1409,"&lt;&gt;0",Data!$E$2:'Data'!$E$1409,"")</f>
        <v>1</v>
      </c>
      <c r="F6">
        <f>COUNTIFS(Data!$K$2:'Data'!$K$1409,"&lt;&gt;0",Data!$E$2:'Data'!$E$1409,"")</f>
        <v>1</v>
      </c>
      <c r="G6">
        <f>SUMIF(Data!$E$2:'Data'!$E$1409,"",Data!$L$2:'Data'!$L$1409)</f>
        <v>553.37</v>
      </c>
      <c r="H6">
        <f>G6/D6</f>
        <v>30.742777777777778</v>
      </c>
    </row>
    <row r="7" spans="1:9">
      <c r="B7">
        <f>SUM(B3:B6)</f>
        <v>693</v>
      </c>
      <c r="C7">
        <f>SUM(C3:C6)</f>
        <v>715</v>
      </c>
      <c r="D7">
        <f>B7+C7</f>
        <v>1408</v>
      </c>
      <c r="E7">
        <f>SUM(E3:E6)</f>
        <v>72</v>
      </c>
      <c r="F7">
        <f>E7/D7</f>
        <v>5.113636363636364E-2</v>
      </c>
      <c r="G7">
        <f>SUM(G3:G6)</f>
        <v>74382.989999999991</v>
      </c>
      <c r="H7">
        <f>G7/D7</f>
        <v>52.828828124999994</v>
      </c>
    </row>
  </sheetData>
  <mergeCells count="4">
    <mergeCell ref="B1:C1"/>
    <mergeCell ref="E1:F1"/>
    <mergeCell ref="G1:H1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DB2C-4FA4-4E48-AFF4-74EA45C7A445}">
  <dimension ref="A1:I9"/>
  <sheetViews>
    <sheetView workbookViewId="0">
      <selection sqref="A1:I9"/>
    </sheetView>
  </sheetViews>
  <sheetFormatPr defaultRowHeight="14.5"/>
  <cols>
    <col min="1" max="1" width="13" customWidth="1"/>
    <col min="3" max="3" width="12.6328125" customWidth="1"/>
    <col min="4" max="4" width="20.453125" customWidth="1"/>
    <col min="5" max="5" width="25.26953125" customWidth="1"/>
    <col min="6" max="6" width="26" customWidth="1"/>
    <col min="7" max="7" width="23.36328125" customWidth="1"/>
    <col min="8" max="8" width="29.7265625" customWidth="1"/>
  </cols>
  <sheetData>
    <row r="1" spans="1:9" ht="28" customHeight="1">
      <c r="A1" s="1"/>
      <c r="B1" s="5" t="s">
        <v>1433</v>
      </c>
      <c r="C1" s="5"/>
      <c r="D1" s="1" t="s">
        <v>1436</v>
      </c>
      <c r="E1" s="5" t="s">
        <v>1434</v>
      </c>
      <c r="F1" s="5"/>
      <c r="G1" s="5" t="s">
        <v>1439</v>
      </c>
      <c r="H1" s="5"/>
    </row>
    <row r="2" spans="1:9" ht="84" customHeight="1">
      <c r="A2" s="1"/>
      <c r="B2" s="1" t="s">
        <v>17</v>
      </c>
      <c r="C2" s="1" t="s">
        <v>723</v>
      </c>
      <c r="D2" s="1"/>
      <c r="E2" s="1" t="s">
        <v>1437</v>
      </c>
      <c r="F2" s="1" t="s">
        <v>1438</v>
      </c>
      <c r="G2" s="1" t="s">
        <v>1441</v>
      </c>
      <c r="H2" s="5" t="s">
        <v>1440</v>
      </c>
      <c r="I2" s="5"/>
    </row>
    <row r="3" spans="1:9">
      <c r="A3" s="1" t="s">
        <v>20</v>
      </c>
      <c r="B3">
        <f>COUNTIFS(Data!$C$2:'Data'!$C$1409,"Control",Data!$F$2:'Data'!$F$1409,"Email")</f>
        <v>74</v>
      </c>
      <c r="C3">
        <f>COUNTIFS(Data!$C$2:'Data'!$C$1409,"Treatment",Data!$F$2:'Data'!$F$1409,"Email")</f>
        <v>56</v>
      </c>
      <c r="D3">
        <f t="shared" ref="D3:D9" si="0">B3+C3</f>
        <v>130</v>
      </c>
      <c r="E3">
        <f>COUNTIFS(Data!$K$2:'Data'!$K$1409,"&lt;&gt;0",Data!$F$2:'Data'!$F$1409,"Email")</f>
        <v>6</v>
      </c>
      <c r="F3">
        <f>E3/D3</f>
        <v>4.6153846153846156E-2</v>
      </c>
      <c r="G3">
        <f>SUMIF(Data!$F$2:'Data'!$F$1409,"Email",Data!$L$2:'Data'!$L$1409)</f>
        <v>4644.26</v>
      </c>
      <c r="H3">
        <f>G3/D3</f>
        <v>35.725076923076927</v>
      </c>
    </row>
    <row r="4" spans="1:9">
      <c r="A4" s="1" t="s">
        <v>25</v>
      </c>
      <c r="B4">
        <f>COUNTIFS(Data!$C$2:'Data'!$C$1409,"Control",Data!$F$2:'Data'!$F$1409,"Organic")</f>
        <v>246</v>
      </c>
      <c r="C4">
        <f>COUNTIFS(Data!$C$2:'Data'!$C$1409,"Treatment",Data!$F$2:'Data'!$F$1409,"Organic")</f>
        <v>241</v>
      </c>
      <c r="D4">
        <f t="shared" si="0"/>
        <v>487</v>
      </c>
      <c r="E4">
        <f>COUNTIFS(Data!$K$2:'Data'!$K$1409,"&lt;&gt;0",Data!$F$2:'Data'!$F$1409,"Organic")</f>
        <v>20</v>
      </c>
      <c r="F4">
        <f t="shared" ref="F4:F9" si="1">E4/D4</f>
        <v>4.1067761806981518E-2</v>
      </c>
      <c r="G4">
        <f>SUMIF(Data!$F$2:'Data'!$F$1409,"Organic",Data!$L$2:'Data'!$L$1409)</f>
        <v>22678.339999999993</v>
      </c>
      <c r="H4">
        <f t="shared" ref="H4:H8" si="2">G4/D4</f>
        <v>46.56743326488705</v>
      </c>
    </row>
    <row r="5" spans="1:9">
      <c r="A5" s="1" t="s">
        <v>29</v>
      </c>
      <c r="B5">
        <f>COUNTIFS(Data!$C$2:'Data'!$C$1409,"Control",Data!$F$2:'Data'!$F$1409,"Paid Search")</f>
        <v>156</v>
      </c>
      <c r="C5">
        <f>COUNTIFS(Data!$C$2:'Data'!$C$1409,"Treatment",Data!$F$2:'Data'!$F$1409,"Paid Search")</f>
        <v>176</v>
      </c>
      <c r="D5">
        <f t="shared" si="0"/>
        <v>332</v>
      </c>
      <c r="E5">
        <f>COUNTIFS(Data!$K$2:'Data'!$K$1409,"&lt;&gt;0",Data!$F$2:'Data'!$F$1409,"Paid Search")</f>
        <v>13</v>
      </c>
      <c r="F5">
        <f t="shared" si="1"/>
        <v>3.9156626506024098E-2</v>
      </c>
      <c r="G5">
        <f>SUMIF(Data!$F$2:'Data'!$F$1409,"Paid Search",Data!$L$2:'Data'!$L$1409)</f>
        <v>7812.2000000000007</v>
      </c>
      <c r="H5">
        <f t="shared" si="2"/>
        <v>23.530722891566267</v>
      </c>
    </row>
    <row r="6" spans="1:9">
      <c r="A6" s="1" t="s">
        <v>39</v>
      </c>
      <c r="B6">
        <f>COUNTIFS(Data!$C$2:'Data'!$C$1409,"Control",Data!$F$2:'Data'!$F$1409,"Referral")</f>
        <v>81</v>
      </c>
      <c r="C6">
        <f>COUNTIFS(Data!$C$2:'Data'!$C$1409,"Treatment",Data!$F$2:'Data'!$F$1409,"Referral")</f>
        <v>91</v>
      </c>
      <c r="D6">
        <f t="shared" si="0"/>
        <v>172</v>
      </c>
      <c r="E6">
        <f>COUNTIFS(Data!$K$2:'Data'!$K$1409,"&lt;&gt;0",Data!$F$2:'Data'!$F$1409,"Referral")</f>
        <v>12</v>
      </c>
      <c r="F6">
        <f t="shared" si="1"/>
        <v>6.9767441860465115E-2</v>
      </c>
      <c r="G6">
        <f>SUMIF(Data!$F$2:'Data'!$F$1409,"Referral",Data!$L$2:'Data'!$L$1409)</f>
        <v>12071.57</v>
      </c>
      <c r="H6">
        <f t="shared" si="2"/>
        <v>70.18354651162791</v>
      </c>
    </row>
    <row r="7" spans="1:9">
      <c r="A7" s="1" t="s">
        <v>41</v>
      </c>
      <c r="B7">
        <f>COUNTIFS(Data!$C$2:'Data'!$C$1409,"Control",Data!$F$2:'Data'!$F$1409,"Social")</f>
        <v>130</v>
      </c>
      <c r="C7">
        <f>COUNTIFS(Data!$C$2:'Data'!$C$1409,"Treatment",Data!$F$2:'Data'!$F$1409,"Social")</f>
        <v>133</v>
      </c>
      <c r="D7">
        <f t="shared" si="0"/>
        <v>263</v>
      </c>
      <c r="E7">
        <f>COUNTIFS(Data!$K$2:'Data'!$K$1409,"&lt;&gt;0",Data!$F$2:'Data'!$F$1409,"Social")</f>
        <v>18</v>
      </c>
      <c r="F7">
        <f t="shared" si="1"/>
        <v>6.8441064638783272E-2</v>
      </c>
      <c r="G7">
        <f>SUMIF(Data!$F$2:'Data'!$F$1409,"Social",Data!$L$2:'Data'!$L$1409)</f>
        <v>24547.759999999998</v>
      </c>
      <c r="H7">
        <f t="shared" si="2"/>
        <v>93.337490494296574</v>
      </c>
    </row>
    <row r="8" spans="1:9">
      <c r="A8" s="1" t="s">
        <v>1442</v>
      </c>
      <c r="B8">
        <f>COUNTIFS(Data!$C$2:'Data'!$C$1409,"Control",Data!$F$2:'Data'!$F$1409,"")</f>
        <v>6</v>
      </c>
      <c r="C8">
        <f>COUNTIFS(Data!$C$2:'Data'!$C$1409,"Treatment",Data!$F$2:'Data'!$F$1409,"")</f>
        <v>18</v>
      </c>
      <c r="D8">
        <f t="shared" si="0"/>
        <v>24</v>
      </c>
      <c r="E8">
        <f>COUNTIFS(Data!$K$2:'Data'!$K$1409,"&lt;&gt;0",Data!$F$2:'Data'!$F$1409,"")</f>
        <v>3</v>
      </c>
      <c r="F8">
        <f t="shared" si="1"/>
        <v>0.125</v>
      </c>
      <c r="G8">
        <f>SUMIF(Data!$F$2:'Data'!$F$1409,"",Data!$L$2:'Data'!$L$1409)</f>
        <v>2628.86</v>
      </c>
      <c r="H8">
        <f t="shared" si="2"/>
        <v>109.53583333333334</v>
      </c>
    </row>
    <row r="9" spans="1:9">
      <c r="B9">
        <f>SUM(B3:B8)</f>
        <v>693</v>
      </c>
      <c r="C9">
        <f>SUM(C3:C8)</f>
        <v>715</v>
      </c>
      <c r="D9">
        <f t="shared" si="0"/>
        <v>1408</v>
      </c>
      <c r="E9">
        <f>SUM(E3:E8)</f>
        <v>72</v>
      </c>
      <c r="F9">
        <f t="shared" si="1"/>
        <v>5.113636363636364E-2</v>
      </c>
      <c r="G9">
        <f>SUM(G3:G8)</f>
        <v>74382.989999999991</v>
      </c>
      <c r="H9">
        <f>G9/D9</f>
        <v>52.828828124999994</v>
      </c>
    </row>
  </sheetData>
  <mergeCells count="4">
    <mergeCell ref="B1:C1"/>
    <mergeCell ref="E1:F1"/>
    <mergeCell ref="G1:H1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E248-666B-45CE-9527-B8855D1B31CF}">
  <dimension ref="A1:I6"/>
  <sheetViews>
    <sheetView workbookViewId="0">
      <selection activeCell="C11" sqref="C11"/>
    </sheetView>
  </sheetViews>
  <sheetFormatPr defaultRowHeight="14.5"/>
  <cols>
    <col min="1" max="1" width="13" customWidth="1"/>
    <col min="3" max="3" width="12.6328125" customWidth="1"/>
    <col min="4" max="4" width="20.453125" customWidth="1"/>
    <col min="5" max="5" width="25.26953125" customWidth="1"/>
    <col min="6" max="6" width="26" customWidth="1"/>
    <col min="7" max="7" width="23.36328125" customWidth="1"/>
    <col min="8" max="8" width="29.7265625" customWidth="1"/>
  </cols>
  <sheetData>
    <row r="1" spans="1:9" ht="28" customHeight="1">
      <c r="A1" s="1"/>
      <c r="B1" s="5" t="s">
        <v>1433</v>
      </c>
      <c r="C1" s="5"/>
      <c r="D1" s="1" t="s">
        <v>1436</v>
      </c>
      <c r="E1" s="5" t="s">
        <v>1434</v>
      </c>
      <c r="F1" s="5"/>
      <c r="G1" s="5" t="s">
        <v>1439</v>
      </c>
      <c r="H1" s="5"/>
    </row>
    <row r="2" spans="1:9" ht="84" customHeight="1">
      <c r="A2" s="1"/>
      <c r="B2" s="1" t="s">
        <v>17</v>
      </c>
      <c r="C2" s="1" t="s">
        <v>723</v>
      </c>
      <c r="D2" s="1"/>
      <c r="E2" s="1" t="s">
        <v>1437</v>
      </c>
      <c r="F2" s="1" t="s">
        <v>1438</v>
      </c>
      <c r="G2" s="1" t="s">
        <v>1441</v>
      </c>
      <c r="H2" s="5" t="s">
        <v>1440</v>
      </c>
      <c r="I2" s="5"/>
    </row>
    <row r="3" spans="1:9">
      <c r="A3" t="s">
        <v>21</v>
      </c>
      <c r="B3">
        <f>COUNTIFS(Data!$C$2:'Data'!$C$1409,"Control",Data!$G$2:'Data'!$G$1409,"Basic")</f>
        <v>223</v>
      </c>
      <c r="C3">
        <f>COUNTIFS(Data!$C$2:'Data'!$C$1409,"Treatment",Data!$G$2:'Data'!$G$1409,"Basic")</f>
        <v>235</v>
      </c>
      <c r="D3">
        <f>B3+C3</f>
        <v>458</v>
      </c>
      <c r="E3">
        <f>COUNTIFS(Data!$K$2:'Data'!$K$1409,"&lt;&gt;0",Data!$G$2:'Data'!$G$1409,"Basic")</f>
        <v>17</v>
      </c>
      <c r="F3">
        <f>E3/D3</f>
        <v>3.7117903930131008E-2</v>
      </c>
      <c r="G3">
        <f>SUMIF(Data!$G$2:'Data'!$G$1409,"Basic",Data!$L$2:'Data'!$L$1409)</f>
        <v>30337.29</v>
      </c>
      <c r="H3">
        <f>G3/D3</f>
        <v>66.238624454148479</v>
      </c>
    </row>
    <row r="4" spans="1:9">
      <c r="A4" t="s">
        <v>26</v>
      </c>
      <c r="B4">
        <f>COUNTIFS(Data!$C$2:'Data'!$C$1409,"Control",Data!$G$2:'Data'!$G$1409,"Free")</f>
        <v>361</v>
      </c>
      <c r="C4">
        <f>COUNTIFS(Data!$C$2:'Data'!$C$1409,"Treatment",Data!$G$2:'Data'!$G$1409,"Free")</f>
        <v>368</v>
      </c>
      <c r="D4">
        <f>B4+C4</f>
        <v>729</v>
      </c>
      <c r="E4">
        <f>COUNTIFS(Data!$K$2:'Data'!$K$1409,"&lt;&gt;0",Data!$G$2:'Data'!$G$1409,"Free")</f>
        <v>45</v>
      </c>
      <c r="F4">
        <f t="shared" ref="F4:F5" si="0">E4/D4</f>
        <v>6.1728395061728392E-2</v>
      </c>
      <c r="G4">
        <f>SUMIF(Data!$G$2:'Data'!$G$1409,"Free",Data!$L$2:'Data'!$L$1409)</f>
        <v>26912.489999999994</v>
      </c>
      <c r="H4">
        <f t="shared" ref="H4:H5" si="1">G4/D4</f>
        <v>36.916995884773655</v>
      </c>
    </row>
    <row r="5" spans="1:9" ht="28" customHeight="1">
      <c r="A5" t="s">
        <v>30</v>
      </c>
      <c r="B5">
        <f>COUNTIFS(Data!$C$2:'Data'!$C$1409,"Control",Data!$G$2:'Data'!$G$1409,"Premium")</f>
        <v>109</v>
      </c>
      <c r="C5">
        <f>COUNTIFS(Data!$C$2:'Data'!$C$1409,"Treatment",Data!$G$2:'Data'!$G$1409,"Premium")</f>
        <v>112</v>
      </c>
      <c r="D5">
        <f>B5+C5</f>
        <v>221</v>
      </c>
      <c r="E5">
        <f>COUNTIFS(Data!$K$2:'Data'!$K$1409,"&lt;&gt;0",Data!$G$2:'Data'!$G$1409,"Premium")</f>
        <v>10</v>
      </c>
      <c r="F5">
        <f t="shared" si="0"/>
        <v>4.5248868778280542E-2</v>
      </c>
      <c r="G5">
        <f>SUMIF(Data!$G$2:'Data'!$G$1409,"Premium",Data!$L$2:'Data'!$L$1409)</f>
        <v>17133.21</v>
      </c>
      <c r="H5">
        <f t="shared" si="1"/>
        <v>77.525837104072394</v>
      </c>
    </row>
    <row r="6" spans="1:9">
      <c r="B6">
        <f>SUM(B3:B5)</f>
        <v>693</v>
      </c>
      <c r="C6">
        <f>SUM(C3:C5)</f>
        <v>715</v>
      </c>
      <c r="D6">
        <f>B6+C6</f>
        <v>1408</v>
      </c>
      <c r="E6">
        <f>SUM(E3:E5)</f>
        <v>72</v>
      </c>
      <c r="F6">
        <f>E6/D6</f>
        <v>5.113636363636364E-2</v>
      </c>
      <c r="G6">
        <f>SUM(G3:G5)</f>
        <v>74382.989999999991</v>
      </c>
      <c r="H6">
        <f>G6/D6</f>
        <v>52.828828124999994</v>
      </c>
    </row>
  </sheetData>
  <mergeCells count="4">
    <mergeCell ref="B1:C1"/>
    <mergeCell ref="E1:F1"/>
    <mergeCell ref="G1:H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Region</vt:lpstr>
      <vt:lpstr>Device Type</vt:lpstr>
      <vt:lpstr>Traffic Source</vt:lpstr>
      <vt:lpstr>Plan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 K</dc:creator>
  <cp:lastModifiedBy>KRISHNA T K</cp:lastModifiedBy>
  <dcterms:created xsi:type="dcterms:W3CDTF">2026-06-26T13:59:55Z</dcterms:created>
  <dcterms:modified xsi:type="dcterms:W3CDTF">2026-06-28T15:10:40Z</dcterms:modified>
</cp:coreProperties>
</file>